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ericfish/Library/CloudStorage/GoogleDrive-ericfish@gmail.com/My Drive/10-SUSS/41-DBA-Paper/30-paper-write/32-paper-v6/data/"/>
    </mc:Choice>
  </mc:AlternateContent>
  <xr:revisionPtr revIDLastSave="0" documentId="13_ncr:1_{D46B48B3-7716-2842-807F-F5241265146A}" xr6:coauthVersionLast="47" xr6:coauthVersionMax="47" xr10:uidLastSave="{00000000-0000-0000-0000-000000000000}"/>
  <bookViews>
    <workbookView xWindow="0" yWindow="500" windowWidth="35160" windowHeight="25980" xr2:uid="{68A97BC8-65DC-814E-8CF0-6565793A3E53}"/>
  </bookViews>
  <sheets>
    <sheet name="tbl_watch_sentiment_content_ro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2" i="1"/>
</calcChain>
</file>

<file path=xl/sharedStrings.xml><?xml version="1.0" encoding="utf-8"?>
<sst xmlns="http://schemas.openxmlformats.org/spreadsheetml/2006/main" count="109" uniqueCount="61">
  <si>
    <t>id</t>
  </si>
  <si>
    <t>created_at</t>
  </si>
  <si>
    <t>content</t>
  </si>
  <si>
    <t>2025-09-25 00:48:18.022315+00</t>
  </si>
  <si>
    <t>Ethereum Faces Resistance Wall ‚Äì Could Market Be Preparing for Another Decline?
Ethereum has entered a period of decline, falling below the $4,220 mark. The cryptocurrency is currently consolidating, with potential for further drops if it breaks through the $4,125 support. Trad‚Ä¶
#crypto #eth #news</t>
  </si>
  <si>
    <t>Wall Street veteran and Fundstrat co-founder Tom Lee Predicts 10-15 Year #ETH Super Cycle, #BTC at $250K by Year-End</t>
  </si>
  <si>
    <t>ETH broke below $4,500 after topping near $4,750 and now looks weak. If bulls don‚Äôt reclaim $4,400‚Äì$4,250, downside risk grows ‚Äî $4,000 or lower could be next. Full details https://coinchapter.com/ethereum-eth-forecast-bearish-4050/ #Ethereum #ETH üõë</t>
  </si>
  <si>
    <t>Wedge Breakout Or False Alarm? Ethereum Faces Its Biggest Support Test Yet
Ethereum's price action is at a critical juncture after breaking out of a rising wedge pattern. This breakout initially sparked optimism for further gains, but a retest of key support is now underway. Th‚Ä¶
#crypto #eth #news</t>
  </si>
  <si>
    <t>Safer DeFi = Stronger Ethereum‚Äù ‚Äî Buterin Drops Key Insight 
Readüëâ: cryptowave.space/buterin-spok...
#ETH #Ethereum #Vitalik #DeFi #Blockchain #Crypto2025 #Web3</t>
  </si>
  <si>
    <t>Ethereum Set for Fusaka Hard Fork This December ‚Äî What to Expect 
Readüëâ: cryptowave.space/the-fusaka-h...
#Ethereum #ETH #CryptoNews #Blockchain #HardFork #Fusaka #Crypto2025 #DeFi</t>
  </si>
  <si>
    <t>The European Central Bank expects to launch a digital euro by 2029, according to ECB board member Piero Cipollone.
#BTC #ETH #Bitcoin #Ethereum #Crypto #Cryptocurrency #StableCoins #CBDC #Cryptocurrencies #DigitalEuro #Europe #CentralBank #MarketIntelligence #FinancialMarkets
$BTC $ETH</t>
  </si>
  <si>
    <t>97% of traders would lose money on this chart._x000D_
Would you? üëÄ_x000D_
Clean chart ‚Üí PipTrend on ‚Üí AI nails the move ‚Üí $2,500 profit at 1:2.5 RR_x000D_
Session liquidity levels respected to the pip._x000D_
PipTrend ain‚Äôt guessing._x000D_
üî• Watch the full challenge. #daytrading #forex #tradingstrategy #stocks #forextrader #btc #eth</t>
  </si>
  <si>
    <t>Analyst Predicts Ethereum Price Will Reach $33,000 As ETH Founder Forecasts ‚ÄòGoogle Moment‚Äô
Market analysts and Vitalik Buterin have presented bullish forecasts for Ethereum. One expert, Egrag Crypto, projects Ethereum‚Äôs price could reach $33,000 by the end of 2025. This predi‚Ä¶
#defi #eth #vitalik</t>
  </si>
  <si>
    <t>Vitalik Buterin Calls Base a Model Ethereum L2
Ethereum co-founder Vitalik Buterin praised Base as a model Layer-2, combining user-friendly design with Ethereum‚Äôs decentralized security. He emphasized that Base is non-custodial and cannot block or seize user funds, counter‚Ä¶
#coinbase #eth #vitalik</t>
  </si>
  <si>
    <t>Morgan Stanley is partnering with Zerohash to let E*Trade users trade major cryptocurrencies, including Bitcoin, Ether, and Solana, starting in the first half of 2026.
#BTC #ETH #SOL #MS #Bitcoin #Ethereum #Solana #MorganStanley #MSStock #MorganStanleyStock #Etrade
$BTC $ETH $SOL $MS</t>
  </si>
  <si>
    <t>Vitalik Buterin, medeoprichter van Ethereum, waarschuwt voor de gevaren van gesloten systemen binnen belangrijke sectoren zoals gezondheidszorg, financi√´n en verkiezingen. #Blockchain #ETH #Ethereum #vitalikbuterin
cryptonieuwsblad.nl/?p=6519</t>
  </si>
  <si>
    <t>üí° Twice a day, the GNYaiBOT drops fresh #ETH trading insights straight to your Telegram.
Smart #Ethereum traders pair it with the GNY Range Report charts to level up their decisions.
Stay informed. Stay ahead. Stay winning üèÜ 
üì≤ t.me/GNYaiBOT
üìä gnyrr.com/range-report...</t>
  </si>
  <si>
    <t>üö® Crypto markets spiraled this week - over $1.7B in leveraged positions liquidated as BTC, ETH &amp; SOL plunged after the Fed cut rates. #CryptoCrash #Liquidations #BTC #ETH</t>
  </si>
  <si>
    <t>Wall Street goes deeper: Morgan Stanley teams with Zerohash to bring #BTC, #ETH &amp; #SOL trading to its ETrade clients next year. #CryptoAdoption #Blockchain #InstitutionalCrypto</t>
  </si>
  <si>
    <t>[24 Sep, 9PM KST(UTC+9)]
Kimchi Premium Index
#BTC +1.68%
#ETH +1.64%
Crypto App Ranking
#Upbit All # 85(‚ñº14) / Finance # 19(‚ñº6)
#Bithumb All # 50(‚ñ≤7) / Finance # 12(‚ñº1)</t>
  </si>
  <si>
    <t>Neal Stephenson‚Äôs Lamina1 joins Linea to bring decentralized media to Ethereum
Neal Stephenson‚Äôs Lamina1 teamed up with Consensys‚Äô Linea to launch Spaces, a platform for creator-owned IP and interactive storytelling on Ethereum.
#crypto #eth #news</t>
  </si>
  <si>
    <t>#virtualcurrency #ETH #Ethereum #Chatroom #trade #2025 #9/24 18:05ÔΩû
www.youtube.com/watch?v=__91...
interiaakusesarii.seesaa.net/article/5182...
rssfeed.blog.shinobi.jp/%E6%9C%AA%E9...
x.com/uzuki777a/st...
momonga2017bbriipugurosu.blogspot.com/2025/09/virt...</t>
  </si>
  <si>
    <t>Tom Lee forecasts an Ethereum super cycle üöÄ ETH could reach $15K and win over Wall Street! #Ethereum #TomLee #Crypto #Bitcoin #ETH
coinomedia.com/tom-lee-ethe...</t>
  </si>
  <si>
    <t>Fed Sends Mixed Signals: Uncertainty Looms Over Crypto Markets 
Readüëâ: cryptowave.space/mixed-signal...
#Crypto #Bitcoin #Ethereum #BTC #ETH #CryptoMarkets #Blockchain #FederalReserve #FedNews</t>
  </si>
  <si>
    <t>Ethereum Roadmap 2025: Scaling, Sustainability, and a Secure Future cryptoquorum.com/ethereum-roa... #Ethereum #ETH #Blockchain #PoS #Sharding #Scaling #EthereumRoadmap2025 #Web3</t>
  </si>
  <si>
    <t>Ethereum is retesting its key support line üö® A bullish MACD cross below zero could spark the next rally! #Ethereum #ETH #Crypto #Trading
coinomedia.com/ethereum-sup...</t>
  </si>
  <si>
    <t>Fundstrat co-founder and BitMine Chairman Tom Lee said #ETH is a "truly neutral chain" that will be favored by Wall Street and the White House</t>
  </si>
  <si>
    <t>Last chance for Ethereum? ETH price pattern breaks down as $4K must hold
Ether is clinging to a key trendline support that has historically fueled rallies of 90%‚Äì125%, which has made this a crucial level to watch over the next few days.
#crypto #eth #news</t>
  </si>
  <si>
    <t>In your hands forever #gift #ETH #lgbtq https://janededecker.com/product/my-heart-is-in-your-hands-sm-2/</t>
  </si>
  <si>
    <t>Spot #BTC and #ETH ETFs Continue to See Outflows, SoSoValue Data Shows</t>
  </si>
  <si>
    <t>23 Sep, Ethereum Spot ETF Net Flow(US$M)	
üíµTotal	: -$140.8M
#ETHA	: +$0M
#FETH	: -$63.4M
#ETHW	: -$23.9M
#TETH	: +$0M
#ETHV	: +$0M
#QETH	: +$0M
#EZET	: +$0M
#ETHE	: -$17.1M
#ETH	: -$36.4M</t>
  </si>
  <si>
    <t>Global M2 Money Supply Says Ethereum Price Will Reach $20,000, Here‚Äôs When
The Global M2 Money Supply is increasing, and analysts are using its trend to predict cryptocurrency prices. This method, previously applied to Bitcoin, is now being used to analyze Ethereum's potential p‚Ä¶
#btc #crypto #eth</t>
  </si>
  <si>
    <t>ETH Could Soar as Ethereum Positions Itself as AI Settlement Layer, Experts Say
The Ethereum Foundation has launched a new decentralized AI team led by Davide Crapis. For Gil Rosen, co-founder of the Blockchain Builders Fund, this move represents a shift for Ethereum from‚Ä¶
#blockchain #crypto #eth</t>
  </si>
  <si>
    <t>Analyst Says Ethereum Bounce Is Imminent As BitMine Continues To Accumulate
Ethereum experienced a significant price drop, losing its $4,450-$4,500 support zone. The market saw a major liquidation event, with Ethereum leading losses and falling to a crucial $4,100 support level‚Ä¶
#crypto #eth #news</t>
  </si>
  <si>
    <t>Vitalik Buterin praises Base as the ‚Äòright way‚Äô amid L2 sequencer ‚ÄòFUD‚Äô
Vitalik Buterin defended Base and layer-2 networks against regulatory concerns, arguing they‚Äôre infrastructure extensions of Ethereum, not exchanges.
#eth #fud #vitalik</t>
  </si>
  <si>
    <t>Bitmine ETH Holdings Exceed 2.4 Million Tokens Worth 2% of ETH Supply
Bitmine Immersion has announced that its ethereum holdings now exceed 2.4 million tokens, over 2% of the total ETH supply, bringing its total crypto and cash reserves to $11.4 billion. The company remains the‚Ä¶
#crypto #eth #news</t>
  </si>
  <si>
    <t>üíé TOP 5 ALTCOINS
ü•á Ethereum $ETH: $4180.21
ü•à Ripple $XRP: $2.84
ü•â Binance $BNB: $1020.39
üèÖ Solana $SOL: $214.77
üèÖ Dogecoin $DOGE: $0.239306
#ETH #XRP #BNB #SOL #DOGE</t>
  </si>
  <si>
    <t>Welcome to the first part of a thirteen-part tutorial series inspired by Base Learn, your guide to deploying your very first smart contract on Base Sepolia Testnet. With @base.base.eth recently teasing a native token, now‚Äôs the perfect time to dive into their ecosystem and take your first step into the future of Web3 development.
Base Learn‚Äôs curriculum walks you through deploying ~13 smart contracts (https://docs.base.org/learn/welcome) on the Base Sepolia Testnet, earning you rewards like:
- Five badges on Guild (https://guild.xyz/base/base-learn) and exclusive roles on Base‚Äôs Discord.
- Points on Talent Protocol (https://app.talentprotocol.com/).
- A boosted Onchain Score (https://www.onchainscore.xyz/).
In this thread, we‚Äôll cover the first four smart contracts.
Tools You‚Äôll Need For this tutorial, we‚Äôll use:
- MetaMask for deploying contracts, You can use a brand new one; the badge will go to your Base wallet..
- Base Smart Wallet to validate your deployments on the Base Learn site, (https://wallet.coinbase.com/).
- Remix (https://remix.ethereum.org/), a web-based IDE for writing, testing, and deploying Solidity smart contracts on Ethereum and EVM-compatible chains like Base.
Step 1: Set Up Base Sepolia Testnet (https://chainlist.org/chain/84532)
Add the Base Sepolia Testnet (ChainID: 84532) to your MetaMask wallet. Use ChainList for a one-click setup: click ‚ÄúConnect Wallet‚Äù and confirm in MetaMask.
Step 2: Claim Test ETH (https://www.alchemy.com/faucets/base-sepolia)
You‚Äôll need Base Sepolia ETH to deploy contracts. Claim 0.1 ETH every 72 hours via Alchemy‚Äôs faucet. You‚Äôll need an Alchemy account and MetaMask connected to receive funds.</t>
  </si>
  <si>
    <t>Crypto's up thanks to lower PPI, with ETH leading the charge.
BitMine and others are making major BTC and ETH purchases.
Big partnerships are forming around tokenized assets and funds.
XRP exchange reserves see a huge jump, while AVAX eyes a $1b raise.
Regulatory news includes SEC delays and new banking rules from HK.
Russia may create a crypto bank to fight fraud.</t>
  </si>
  <si>
    <t>SEC approves first Ethereum futures ETF ‚Äì ETH jumps 12%. üöÄ #ETF #Ethereum</t>
  </si>
  <si>
    <t>ETH blasted past $4,100.
It's now checking that level for support.
With exchange reserves at a yearly low,
fewer people are looking to sell.
This could mean the trend is changing.</t>
  </si>
  <si>
    <t>sounds like a wild ride! ü§Ø hope they figure out a fair way to keep everyone happy. eth devs always keeping us on our toes!</t>
  </si>
  <si>
    <t>Here‚Äôs my top predictions for the crypto market in 2026:
‚Ä¢ BTC - $300k
‚Ä¢ ETH - $5k
‚Ä¢ SOL - $1k
‚Ä¢ BNB - $5K
‚Ä¢ XRP - $50
Bookmark this‚Ä¶. Or I am just delusional</t>
  </si>
  <si>
    <t>Rip eth</t>
  </si>
  <si>
    <t>What do you have to say today
Me: someone is out there holding lil amount of eth thinking of when it reaches $100k</t>
  </si>
  <si>
    <t>Longing ETH here</t>
  </si>
  <si>
    <t>Vitalik Buterin just declared DeFi as Ethereum‚Äôs ‚Äúkiller app.‚Äù In his new post, he compares it to Google Search, the dependable core business that powers everything else.
Ryan and David break down why Vitalik believes DeFi has finally earned this title, how it survived the volatility of the last cycle, and what it means for ETH as collateral, culture, and revenue. They cover the Google analogy, the risks DeFi has outgrown, and why this moment could define Ethereum‚Äôs future.
Listen to the full episodeüëá</t>
  </si>
  <si>
    <t>Ethereum will see more and more experimentation.
Which means more and more entrepreneurs will get started on Ethereum.
Which means more and more banking services will be needed to serve these growing businesses.
@abram at ETH NYC: https://splits.org/blog/splits-at-eth-nyc/</t>
  </si>
  <si>
    <t>Hold eth</t>
  </si>
  <si>
    <t>Massive ETH buying is happening.
It's pushing the realized price way up.
It jumped from around $1,700.
Now it's sitting closer to $2,900.</t>
  </si>
  <si>
    <t>ETH price euphoria fades, but $5,000 remains the year-end target, says analyst.
Institutional demand for Ethereum contrasts with weak retail flows, while ETH needs to reclaim $4,580 to trigger a potential rally, according to an analyst.</t>
  </si>
  <si>
    <t>MARKET UPDATE:
BlackRock‚Äôs Bitcoin ( $BTC) and Ethereum ( $ETH) ETFs are now pulling in a staggering $260 million annually in fees, highlighting the explosive growth and demand for institutional-grade crypto investment products</t>
  </si>
  <si>
    <t>S&amp;P 500 is at a new ATH.
Gold is at a new ATH.
But $BTC and $ETH are lagging.
I'm certain they'll catch up in Q4, but not without a dip.
Once that happens, the major rally will start.</t>
  </si>
  <si>
    <t>human1</t>
  </si>
  <si>
    <t>human2</t>
  </si>
  <si>
    <t>human3</t>
  </si>
  <si>
    <t>human4</t>
  </si>
  <si>
    <t>llm</t>
  </si>
  <si>
    <t>liwc</t>
  </si>
  <si>
    <t>finbert</t>
  </si>
  <si>
    <t>HumanAVERAGE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</si>
</sst>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11440-F0A8-5147-B1CF-66B2857387BC}">
  <dimension ref="A1:K50"/>
  <sheetViews>
    <sheetView tabSelected="1" topLeftCell="C1" zoomScale="125" zoomScaleNormal="125" workbookViewId="0">
      <selection activeCell="H5" sqref="H5"/>
    </sheetView>
  </sheetViews>
  <sheetFormatPr baseColWidth="10" defaultRowHeight="16" x14ac:dyDescent="0.2"/>
  <cols>
    <col min="1" max="2" width="10.83203125" style="1"/>
    <col min="3" max="3" width="136.83203125" style="2" customWidth="1"/>
    <col min="4" max="7" width="10.83203125" style="1"/>
    <col min="8" max="8" width="17.5" style="1" customWidth="1"/>
    <col min="9" max="16384" width="10.83203125" style="1"/>
  </cols>
  <sheetData>
    <row r="1" spans="1:11" ht="17" x14ac:dyDescent="0.2">
      <c r="A1" s="1" t="s">
        <v>0</v>
      </c>
      <c r="B1" s="1" t="s">
        <v>1</v>
      </c>
      <c r="C1" s="2" t="s">
        <v>2</v>
      </c>
      <c r="D1" s="1" t="s">
        <v>53</v>
      </c>
      <c r="E1" s="1" t="s">
        <v>54</v>
      </c>
      <c r="F1" s="1" t="s">
        <v>55</v>
      </c>
      <c r="G1" s="1" t="s">
        <v>56</v>
      </c>
      <c r="H1" s="1" t="s">
        <v>60</v>
      </c>
      <c r="I1" s="1" t="s">
        <v>57</v>
      </c>
      <c r="J1" s="1" t="s">
        <v>58</v>
      </c>
      <c r="K1" s="1" t="s">
        <v>59</v>
      </c>
    </row>
    <row r="2" spans="1:11" ht="102" x14ac:dyDescent="0.2">
      <c r="A2" s="1">
        <v>38976</v>
      </c>
      <c r="B2" s="1" t="s">
        <v>3</v>
      </c>
      <c r="C2" s="2" t="s">
        <v>4</v>
      </c>
      <c r="D2" s="1">
        <v>3</v>
      </c>
      <c r="E2" s="1">
        <v>5</v>
      </c>
      <c r="F2" s="1">
        <v>0</v>
      </c>
      <c r="G2" s="1">
        <v>3</v>
      </c>
      <c r="H2" s="1">
        <f>(D2+E2+F2+G2)/4</f>
        <v>2.75</v>
      </c>
      <c r="I2" s="1">
        <v>3</v>
      </c>
      <c r="J2" s="1">
        <v>5.22</v>
      </c>
      <c r="K2" s="1">
        <v>0.34</v>
      </c>
    </row>
    <row r="3" spans="1:11" ht="17" x14ac:dyDescent="0.2">
      <c r="A3" s="1">
        <v>38987</v>
      </c>
      <c r="B3" s="1" t="s">
        <v>3</v>
      </c>
      <c r="C3" s="2" t="s">
        <v>5</v>
      </c>
      <c r="D3" s="1">
        <v>8</v>
      </c>
      <c r="E3" s="1">
        <v>5</v>
      </c>
      <c r="F3" s="1">
        <v>10</v>
      </c>
      <c r="G3" s="1">
        <v>7</v>
      </c>
      <c r="H3" s="1">
        <f t="shared" ref="H3:H50" si="0">(D3+E3+F3+G3)/4</f>
        <v>7.5</v>
      </c>
      <c r="I3" s="1">
        <v>7</v>
      </c>
      <c r="J3" s="1">
        <v>5.45</v>
      </c>
      <c r="K3" s="1">
        <v>5</v>
      </c>
    </row>
    <row r="4" spans="1:11" ht="34" x14ac:dyDescent="0.2">
      <c r="A4" s="1">
        <v>38988</v>
      </c>
      <c r="B4" s="1" t="s">
        <v>3</v>
      </c>
      <c r="C4" s="2" t="s">
        <v>6</v>
      </c>
      <c r="D4" s="1">
        <v>3</v>
      </c>
      <c r="E4" s="1">
        <v>5</v>
      </c>
      <c r="F4" s="1">
        <v>0</v>
      </c>
      <c r="G4" s="1">
        <v>4</v>
      </c>
      <c r="H4" s="1">
        <f t="shared" si="0"/>
        <v>3</v>
      </c>
      <c r="I4" s="1">
        <v>3</v>
      </c>
      <c r="J4" s="1">
        <v>4.1100000000000003</v>
      </c>
      <c r="K4" s="1">
        <v>1.73</v>
      </c>
    </row>
    <row r="5" spans="1:11" ht="102" x14ac:dyDescent="0.2">
      <c r="A5" s="1">
        <v>38989</v>
      </c>
      <c r="B5" s="1" t="s">
        <v>3</v>
      </c>
      <c r="C5" s="2" t="s">
        <v>7</v>
      </c>
      <c r="D5" s="1">
        <v>5</v>
      </c>
      <c r="E5" s="1">
        <v>10</v>
      </c>
      <c r="F5" s="1">
        <v>5</v>
      </c>
      <c r="G5" s="1">
        <v>6</v>
      </c>
      <c r="H5" s="1">
        <f t="shared" si="0"/>
        <v>6.5</v>
      </c>
      <c r="I5" s="1">
        <v>4</v>
      </c>
      <c r="J5" s="1">
        <v>5.2</v>
      </c>
      <c r="K5" s="1">
        <v>8.3000000000000007</v>
      </c>
    </row>
    <row r="6" spans="1:11" ht="85" x14ac:dyDescent="0.2">
      <c r="A6" s="1">
        <v>38991</v>
      </c>
      <c r="B6" s="1" t="s">
        <v>3</v>
      </c>
      <c r="C6" s="2" t="s">
        <v>8</v>
      </c>
      <c r="D6" s="1">
        <v>6</v>
      </c>
      <c r="E6" s="1">
        <v>5</v>
      </c>
      <c r="F6" s="1">
        <v>10</v>
      </c>
      <c r="G6" s="1">
        <v>6</v>
      </c>
      <c r="H6" s="1">
        <f t="shared" si="0"/>
        <v>6.75</v>
      </c>
      <c r="I6" s="1">
        <v>7</v>
      </c>
      <c r="J6" s="1">
        <v>6.5</v>
      </c>
      <c r="K6" s="1">
        <v>5</v>
      </c>
    </row>
    <row r="7" spans="1:11" ht="85" x14ac:dyDescent="0.2">
      <c r="A7" s="1">
        <v>38992</v>
      </c>
      <c r="B7" s="1" t="s">
        <v>3</v>
      </c>
      <c r="C7" s="2" t="s">
        <v>9</v>
      </c>
      <c r="D7" s="1">
        <v>6</v>
      </c>
      <c r="E7" s="1">
        <v>5</v>
      </c>
      <c r="F7" s="1">
        <v>5</v>
      </c>
      <c r="G7" s="1">
        <v>5</v>
      </c>
      <c r="H7" s="1">
        <f t="shared" si="0"/>
        <v>5.25</v>
      </c>
      <c r="I7" s="1">
        <v>5</v>
      </c>
      <c r="J7" s="1">
        <v>5</v>
      </c>
      <c r="K7" s="1">
        <v>5</v>
      </c>
    </row>
    <row r="8" spans="1:11" ht="85" x14ac:dyDescent="0.2">
      <c r="A8" s="1">
        <v>38995</v>
      </c>
      <c r="B8" s="1" t="s">
        <v>3</v>
      </c>
      <c r="C8" s="2" t="s">
        <v>10</v>
      </c>
      <c r="D8" s="1">
        <v>7</v>
      </c>
      <c r="E8" s="1">
        <v>10</v>
      </c>
      <c r="F8" s="1">
        <v>10</v>
      </c>
      <c r="G8" s="1">
        <v>7</v>
      </c>
      <c r="H8" s="1">
        <f t="shared" si="0"/>
        <v>8.5</v>
      </c>
      <c r="I8" s="1">
        <v>6</v>
      </c>
      <c r="J8" s="1">
        <v>5</v>
      </c>
      <c r="K8" s="1">
        <v>5</v>
      </c>
    </row>
    <row r="9" spans="1:11" ht="102" x14ac:dyDescent="0.2">
      <c r="A9" s="1">
        <v>38997</v>
      </c>
      <c r="B9" s="1" t="s">
        <v>3</v>
      </c>
      <c r="C9" s="2" t="s">
        <v>11</v>
      </c>
      <c r="D9" s="1">
        <v>4</v>
      </c>
      <c r="E9" s="1">
        <v>10</v>
      </c>
      <c r="F9" s="1">
        <v>5</v>
      </c>
      <c r="G9" s="1">
        <v>4</v>
      </c>
      <c r="H9" s="1">
        <f t="shared" si="0"/>
        <v>5.75</v>
      </c>
      <c r="I9" s="1">
        <v>4</v>
      </c>
      <c r="J9" s="1">
        <v>5.2</v>
      </c>
      <c r="K9" s="1">
        <v>5</v>
      </c>
    </row>
    <row r="10" spans="1:11" ht="102" x14ac:dyDescent="0.2">
      <c r="A10" s="1">
        <v>38998</v>
      </c>
      <c r="B10" s="1" t="s">
        <v>3</v>
      </c>
      <c r="C10" s="2" t="s">
        <v>12</v>
      </c>
      <c r="D10" s="1">
        <v>8</v>
      </c>
      <c r="E10" s="1">
        <v>5</v>
      </c>
      <c r="F10" s="1">
        <v>10</v>
      </c>
      <c r="G10" s="1">
        <v>8</v>
      </c>
      <c r="H10" s="1">
        <f t="shared" si="0"/>
        <v>7.75</v>
      </c>
      <c r="I10" s="1">
        <v>8</v>
      </c>
      <c r="J10" s="1">
        <v>5.43</v>
      </c>
      <c r="K10" s="1">
        <v>5</v>
      </c>
    </row>
    <row r="11" spans="1:11" ht="102" x14ac:dyDescent="0.2">
      <c r="A11" s="1">
        <v>38999</v>
      </c>
      <c r="B11" s="1" t="s">
        <v>3</v>
      </c>
      <c r="C11" s="2" t="s">
        <v>13</v>
      </c>
      <c r="D11" s="1">
        <v>7</v>
      </c>
      <c r="E11" s="1">
        <v>10</v>
      </c>
      <c r="F11" s="1">
        <v>10</v>
      </c>
      <c r="G11" s="1">
        <v>6</v>
      </c>
      <c r="H11" s="1">
        <f t="shared" si="0"/>
        <v>8.25</v>
      </c>
      <c r="I11" s="1">
        <v>8</v>
      </c>
      <c r="J11" s="1">
        <v>6.28</v>
      </c>
      <c r="K11" s="1">
        <v>5</v>
      </c>
    </row>
    <row r="12" spans="1:11" ht="68" x14ac:dyDescent="0.2">
      <c r="A12" s="1">
        <v>39000</v>
      </c>
      <c r="B12" s="1" t="s">
        <v>3</v>
      </c>
      <c r="C12" s="2" t="s">
        <v>14</v>
      </c>
      <c r="D12" s="1">
        <v>7</v>
      </c>
      <c r="E12" s="1">
        <v>10</v>
      </c>
      <c r="F12" s="1">
        <v>10</v>
      </c>
      <c r="G12" s="1">
        <v>7</v>
      </c>
      <c r="H12" s="1">
        <f t="shared" si="0"/>
        <v>8.5</v>
      </c>
      <c r="I12" s="1">
        <v>7</v>
      </c>
      <c r="J12" s="1">
        <v>5</v>
      </c>
      <c r="K12" s="1">
        <v>5</v>
      </c>
    </row>
    <row r="13" spans="1:11" ht="51" x14ac:dyDescent="0.2">
      <c r="A13" s="1">
        <v>39003</v>
      </c>
      <c r="B13" s="1" t="s">
        <v>3</v>
      </c>
      <c r="C13" s="2" t="s">
        <v>15</v>
      </c>
      <c r="D13" s="1">
        <v>7</v>
      </c>
      <c r="E13" s="1">
        <v>5</v>
      </c>
      <c r="F13" s="1">
        <v>5</v>
      </c>
      <c r="G13" s="1">
        <v>5</v>
      </c>
      <c r="H13" s="1">
        <f t="shared" si="0"/>
        <v>5.5</v>
      </c>
      <c r="I13" s="1">
        <v>5</v>
      </c>
      <c r="J13" s="1">
        <v>5.71</v>
      </c>
      <c r="K13" s="1">
        <v>5</v>
      </c>
    </row>
    <row r="14" spans="1:11" ht="85" x14ac:dyDescent="0.2">
      <c r="A14" s="1">
        <v>39014</v>
      </c>
      <c r="B14" s="1" t="s">
        <v>3</v>
      </c>
      <c r="C14" s="2" t="s">
        <v>16</v>
      </c>
      <c r="D14" s="1">
        <v>6</v>
      </c>
      <c r="E14" s="1">
        <v>10</v>
      </c>
      <c r="F14" s="1">
        <v>5</v>
      </c>
      <c r="G14" s="1">
        <v>5</v>
      </c>
      <c r="H14" s="1">
        <f t="shared" si="0"/>
        <v>6.5</v>
      </c>
      <c r="I14" s="1">
        <v>8</v>
      </c>
      <c r="J14" s="1">
        <v>5.47</v>
      </c>
      <c r="K14" s="1">
        <v>5</v>
      </c>
    </row>
    <row r="15" spans="1:11" ht="34" x14ac:dyDescent="0.2">
      <c r="A15" s="1">
        <v>39015</v>
      </c>
      <c r="B15" s="1" t="s">
        <v>3</v>
      </c>
      <c r="C15" s="2" t="s">
        <v>17</v>
      </c>
      <c r="D15" s="1">
        <v>4</v>
      </c>
      <c r="E15" s="1">
        <v>10</v>
      </c>
      <c r="F15" s="1">
        <v>0</v>
      </c>
      <c r="G15" s="1">
        <v>4</v>
      </c>
      <c r="H15" s="1">
        <f t="shared" si="0"/>
        <v>4.5</v>
      </c>
      <c r="I15" s="1">
        <v>3</v>
      </c>
      <c r="J15" s="1">
        <v>4.62</v>
      </c>
      <c r="K15" s="1">
        <v>0.69</v>
      </c>
    </row>
    <row r="16" spans="1:11" ht="34" x14ac:dyDescent="0.2">
      <c r="A16" s="1">
        <v>39016</v>
      </c>
      <c r="B16" s="1" t="s">
        <v>3</v>
      </c>
      <c r="C16" s="2" t="s">
        <v>18</v>
      </c>
      <c r="D16" s="1">
        <v>7</v>
      </c>
      <c r="E16" s="1">
        <v>10</v>
      </c>
      <c r="F16" s="1">
        <v>10</v>
      </c>
      <c r="G16" s="1">
        <v>8</v>
      </c>
      <c r="H16" s="1">
        <f t="shared" si="0"/>
        <v>8.75</v>
      </c>
      <c r="I16" s="1">
        <v>8</v>
      </c>
      <c r="J16" s="1">
        <v>5</v>
      </c>
      <c r="K16" s="1">
        <v>5</v>
      </c>
    </row>
    <row r="17" spans="1:11" ht="153" x14ac:dyDescent="0.2">
      <c r="A17" s="1">
        <v>39017</v>
      </c>
      <c r="B17" s="1" t="s">
        <v>3</v>
      </c>
      <c r="C17" s="2" t="s">
        <v>19</v>
      </c>
      <c r="D17" s="1">
        <v>6</v>
      </c>
      <c r="E17" s="1">
        <v>10</v>
      </c>
      <c r="F17" s="1">
        <v>5</v>
      </c>
      <c r="G17" s="1">
        <v>6</v>
      </c>
      <c r="H17" s="1">
        <f t="shared" si="0"/>
        <v>6.75</v>
      </c>
      <c r="I17" s="1">
        <v>6</v>
      </c>
      <c r="J17" s="1">
        <v>5</v>
      </c>
      <c r="K17" s="1">
        <v>5</v>
      </c>
    </row>
    <row r="18" spans="1:11" ht="85" x14ac:dyDescent="0.2">
      <c r="A18" s="1">
        <v>39018</v>
      </c>
      <c r="B18" s="1" t="s">
        <v>3</v>
      </c>
      <c r="C18" s="2" t="s">
        <v>20</v>
      </c>
      <c r="D18" s="1">
        <v>6</v>
      </c>
      <c r="E18" s="1">
        <v>5</v>
      </c>
      <c r="F18" s="1">
        <v>10</v>
      </c>
      <c r="G18" s="1">
        <v>6</v>
      </c>
      <c r="H18" s="1">
        <f t="shared" si="0"/>
        <v>6.75</v>
      </c>
      <c r="I18" s="1">
        <v>7</v>
      </c>
      <c r="J18" s="1">
        <v>5</v>
      </c>
      <c r="K18" s="1">
        <v>5</v>
      </c>
    </row>
    <row r="19" spans="1:11" ht="102" x14ac:dyDescent="0.2">
      <c r="A19" s="1">
        <v>39020</v>
      </c>
      <c r="B19" s="1" t="s">
        <v>3</v>
      </c>
      <c r="C19" s="2" t="s">
        <v>21</v>
      </c>
      <c r="D19" s="1">
        <v>6</v>
      </c>
      <c r="E19" s="1">
        <v>5</v>
      </c>
      <c r="F19" s="1">
        <v>0</v>
      </c>
      <c r="G19" s="1">
        <v>5</v>
      </c>
      <c r="H19" s="1">
        <f t="shared" si="0"/>
        <v>4</v>
      </c>
      <c r="I19" s="1">
        <v>5</v>
      </c>
      <c r="J19" s="1">
        <v>5</v>
      </c>
      <c r="K19" s="1">
        <v>5</v>
      </c>
    </row>
    <row r="20" spans="1:11" ht="51" x14ac:dyDescent="0.2">
      <c r="A20" s="1">
        <v>39022</v>
      </c>
      <c r="B20" s="1" t="s">
        <v>3</v>
      </c>
      <c r="C20" s="2" t="s">
        <v>22</v>
      </c>
      <c r="D20" s="1">
        <v>8</v>
      </c>
      <c r="E20" s="1">
        <v>5</v>
      </c>
      <c r="F20" s="1">
        <v>10</v>
      </c>
      <c r="G20" s="1">
        <v>6</v>
      </c>
      <c r="H20" s="1">
        <f t="shared" si="0"/>
        <v>7.25</v>
      </c>
      <c r="I20" s="1">
        <v>8</v>
      </c>
      <c r="J20" s="1">
        <v>5.77</v>
      </c>
      <c r="K20" s="1">
        <v>5</v>
      </c>
    </row>
    <row r="21" spans="1:11" ht="85" x14ac:dyDescent="0.2">
      <c r="A21" s="1">
        <v>39024</v>
      </c>
      <c r="B21" s="1" t="s">
        <v>3</v>
      </c>
      <c r="C21" s="2" t="s">
        <v>23</v>
      </c>
      <c r="D21" s="1">
        <v>4</v>
      </c>
      <c r="E21" s="1">
        <v>5</v>
      </c>
      <c r="F21" s="1">
        <v>0</v>
      </c>
      <c r="G21" s="1">
        <v>4</v>
      </c>
      <c r="H21" s="1">
        <f t="shared" si="0"/>
        <v>3.25</v>
      </c>
      <c r="I21" s="1">
        <v>3</v>
      </c>
      <c r="J21" s="1">
        <v>4.57</v>
      </c>
      <c r="K21" s="1">
        <v>5</v>
      </c>
    </row>
    <row r="22" spans="1:11" ht="34" x14ac:dyDescent="0.2">
      <c r="A22" s="1">
        <v>39025</v>
      </c>
      <c r="B22" s="1" t="s">
        <v>3</v>
      </c>
      <c r="C22" s="2" t="s">
        <v>24</v>
      </c>
      <c r="D22" s="1">
        <v>7</v>
      </c>
      <c r="E22" s="1">
        <v>5</v>
      </c>
      <c r="F22" s="1">
        <v>10</v>
      </c>
      <c r="G22" s="1">
        <v>5</v>
      </c>
      <c r="H22" s="1">
        <f t="shared" si="0"/>
        <v>6.75</v>
      </c>
      <c r="I22" s="1">
        <v>7</v>
      </c>
      <c r="J22" s="1">
        <v>5.48</v>
      </c>
      <c r="K22" s="1">
        <v>5</v>
      </c>
    </row>
    <row r="23" spans="1:11" ht="51" x14ac:dyDescent="0.2">
      <c r="A23" s="1">
        <v>39026</v>
      </c>
      <c r="B23" s="1" t="s">
        <v>3</v>
      </c>
      <c r="C23" s="2" t="s">
        <v>25</v>
      </c>
      <c r="D23" s="1">
        <v>4</v>
      </c>
      <c r="E23" s="1">
        <v>5</v>
      </c>
      <c r="F23" s="1">
        <v>10</v>
      </c>
      <c r="G23" s="1">
        <v>5</v>
      </c>
      <c r="H23" s="1">
        <f t="shared" si="0"/>
        <v>6</v>
      </c>
      <c r="I23" s="1">
        <v>7</v>
      </c>
      <c r="J23" s="1">
        <v>5.38</v>
      </c>
      <c r="K23" s="1">
        <v>5</v>
      </c>
    </row>
    <row r="24" spans="1:11" ht="17" x14ac:dyDescent="0.2">
      <c r="A24" s="1">
        <v>39027</v>
      </c>
      <c r="B24" s="1" t="s">
        <v>3</v>
      </c>
      <c r="C24" s="2" t="s">
        <v>26</v>
      </c>
      <c r="D24" s="1">
        <v>8</v>
      </c>
      <c r="E24" s="1">
        <v>5</v>
      </c>
      <c r="F24" s="1">
        <v>10</v>
      </c>
      <c r="G24" s="1">
        <v>6</v>
      </c>
      <c r="H24" s="1">
        <f t="shared" si="0"/>
        <v>7.25</v>
      </c>
      <c r="I24" s="1">
        <v>7</v>
      </c>
      <c r="J24" s="1">
        <v>5.77</v>
      </c>
      <c r="K24" s="1">
        <v>5.3</v>
      </c>
    </row>
    <row r="25" spans="1:11" ht="85" x14ac:dyDescent="0.2">
      <c r="A25" s="1">
        <v>39032</v>
      </c>
      <c r="B25" s="1" t="s">
        <v>3</v>
      </c>
      <c r="C25" s="2" t="s">
        <v>27</v>
      </c>
      <c r="D25" s="1">
        <v>3</v>
      </c>
      <c r="E25" s="1">
        <v>5</v>
      </c>
      <c r="F25" s="1">
        <v>5</v>
      </c>
      <c r="G25" s="1">
        <v>5</v>
      </c>
      <c r="H25" s="1">
        <f t="shared" si="0"/>
        <v>4.5</v>
      </c>
      <c r="I25" s="1">
        <v>4</v>
      </c>
      <c r="J25" s="1">
        <v>5.22</v>
      </c>
      <c r="K25" s="1">
        <v>5</v>
      </c>
    </row>
    <row r="26" spans="1:11" ht="17" x14ac:dyDescent="0.2">
      <c r="A26" s="1">
        <v>39034</v>
      </c>
      <c r="B26" s="1" t="s">
        <v>3</v>
      </c>
      <c r="C26" s="2" t="s">
        <v>28</v>
      </c>
      <c r="D26" s="1">
        <v>5</v>
      </c>
      <c r="E26" s="1">
        <v>5</v>
      </c>
      <c r="F26" s="1">
        <v>5</v>
      </c>
      <c r="G26" s="1">
        <v>5</v>
      </c>
      <c r="H26" s="1">
        <f t="shared" si="0"/>
        <v>5</v>
      </c>
      <c r="I26" s="1">
        <v>8</v>
      </c>
      <c r="J26" s="1">
        <v>5</v>
      </c>
      <c r="K26" s="1">
        <v>5</v>
      </c>
    </row>
    <row r="27" spans="1:11" ht="17" x14ac:dyDescent="0.2">
      <c r="A27" s="1">
        <v>39035</v>
      </c>
      <c r="B27" s="1" t="s">
        <v>3</v>
      </c>
      <c r="C27" s="2" t="s">
        <v>29</v>
      </c>
      <c r="D27" s="1">
        <v>3</v>
      </c>
      <c r="E27" s="1">
        <v>5</v>
      </c>
      <c r="F27" s="1">
        <v>0</v>
      </c>
      <c r="G27" s="1">
        <v>4</v>
      </c>
      <c r="H27" s="1">
        <f t="shared" si="0"/>
        <v>3</v>
      </c>
      <c r="I27" s="1">
        <v>4</v>
      </c>
      <c r="J27" s="1">
        <v>5</v>
      </c>
      <c r="K27" s="1">
        <v>0.84</v>
      </c>
    </row>
    <row r="28" spans="1:11" ht="187" x14ac:dyDescent="0.2">
      <c r="A28" s="1">
        <v>39037</v>
      </c>
      <c r="B28" s="1" t="s">
        <v>3</v>
      </c>
      <c r="C28" s="2" t="s">
        <v>30</v>
      </c>
      <c r="D28" s="1">
        <v>3</v>
      </c>
      <c r="E28" s="1">
        <v>5</v>
      </c>
      <c r="F28" s="1">
        <v>0</v>
      </c>
      <c r="G28" s="1">
        <v>3</v>
      </c>
      <c r="H28" s="1">
        <f t="shared" si="0"/>
        <v>2.75</v>
      </c>
      <c r="I28" s="1">
        <v>3</v>
      </c>
      <c r="J28" s="1">
        <v>5</v>
      </c>
      <c r="K28" s="1">
        <v>5</v>
      </c>
    </row>
    <row r="29" spans="1:11" ht="102" x14ac:dyDescent="0.2">
      <c r="A29" s="1">
        <v>39040</v>
      </c>
      <c r="B29" s="1" t="s">
        <v>3</v>
      </c>
      <c r="C29" s="2" t="s">
        <v>31</v>
      </c>
      <c r="D29" s="1">
        <v>8</v>
      </c>
      <c r="E29" s="1">
        <v>10</v>
      </c>
      <c r="F29" s="1">
        <v>10</v>
      </c>
      <c r="G29" s="1">
        <v>8</v>
      </c>
      <c r="H29" s="1">
        <f t="shared" si="0"/>
        <v>9</v>
      </c>
      <c r="I29" s="1">
        <v>7</v>
      </c>
      <c r="J29" s="1">
        <v>5</v>
      </c>
      <c r="K29" s="1">
        <v>5</v>
      </c>
    </row>
    <row r="30" spans="1:11" ht="102" x14ac:dyDescent="0.2">
      <c r="A30" s="1">
        <v>39041</v>
      </c>
      <c r="B30" s="1" t="s">
        <v>3</v>
      </c>
      <c r="C30" s="2" t="s">
        <v>32</v>
      </c>
      <c r="D30" s="1">
        <v>8</v>
      </c>
      <c r="E30" s="1">
        <v>0</v>
      </c>
      <c r="F30" s="1">
        <v>10</v>
      </c>
      <c r="G30" s="1">
        <v>5</v>
      </c>
      <c r="H30" s="1">
        <f t="shared" si="0"/>
        <v>5.75</v>
      </c>
      <c r="I30" s="1">
        <v>7</v>
      </c>
      <c r="J30" s="1">
        <v>5</v>
      </c>
      <c r="K30" s="1">
        <v>5</v>
      </c>
    </row>
    <row r="31" spans="1:11" ht="102" x14ac:dyDescent="0.2">
      <c r="A31" s="1">
        <v>39042</v>
      </c>
      <c r="B31" s="1" t="s">
        <v>3</v>
      </c>
      <c r="C31" s="2" t="s">
        <v>33</v>
      </c>
      <c r="D31" s="1">
        <v>7</v>
      </c>
      <c r="E31" s="1">
        <v>5</v>
      </c>
      <c r="F31" s="1">
        <v>10</v>
      </c>
      <c r="G31" s="1">
        <v>4</v>
      </c>
      <c r="H31" s="1">
        <f t="shared" si="0"/>
        <v>6.5</v>
      </c>
      <c r="I31" s="1">
        <v>5</v>
      </c>
      <c r="J31" s="1">
        <v>5</v>
      </c>
      <c r="K31" s="1">
        <v>0.22</v>
      </c>
    </row>
    <row r="32" spans="1:11" ht="85" x14ac:dyDescent="0.2">
      <c r="A32" s="1">
        <v>39043</v>
      </c>
      <c r="B32" s="1" t="s">
        <v>3</v>
      </c>
      <c r="C32" s="2" t="s">
        <v>34</v>
      </c>
      <c r="D32" s="1">
        <v>7</v>
      </c>
      <c r="E32" s="1">
        <v>5</v>
      </c>
      <c r="F32" s="1">
        <v>5</v>
      </c>
      <c r="G32" s="1">
        <v>5</v>
      </c>
      <c r="H32" s="1">
        <f t="shared" si="0"/>
        <v>5.5</v>
      </c>
      <c r="I32" s="1">
        <v>7</v>
      </c>
      <c r="J32" s="1">
        <v>5.86</v>
      </c>
      <c r="K32" s="1">
        <v>5</v>
      </c>
    </row>
    <row r="33" spans="1:11" ht="102" x14ac:dyDescent="0.2">
      <c r="A33" s="1">
        <v>39044</v>
      </c>
      <c r="B33" s="1" t="s">
        <v>3</v>
      </c>
      <c r="C33" s="2" t="s">
        <v>35</v>
      </c>
      <c r="D33" s="1">
        <v>8</v>
      </c>
      <c r="E33" s="1">
        <v>5</v>
      </c>
      <c r="F33" s="1">
        <v>10</v>
      </c>
      <c r="G33" s="1">
        <v>6</v>
      </c>
      <c r="H33" s="1">
        <f t="shared" si="0"/>
        <v>7.25</v>
      </c>
      <c r="I33" s="1">
        <v>7</v>
      </c>
      <c r="J33" s="1">
        <v>5</v>
      </c>
      <c r="K33" s="1">
        <v>7.43</v>
      </c>
    </row>
    <row r="34" spans="1:11" ht="136" x14ac:dyDescent="0.2">
      <c r="A34" s="1">
        <v>39045</v>
      </c>
      <c r="B34" s="1" t="s">
        <v>3</v>
      </c>
      <c r="C34" s="2" t="s">
        <v>36</v>
      </c>
      <c r="D34" s="1">
        <v>5</v>
      </c>
      <c r="E34" s="1">
        <v>5</v>
      </c>
      <c r="F34" s="1">
        <v>5</v>
      </c>
      <c r="G34" s="1">
        <v>5</v>
      </c>
      <c r="H34" s="1">
        <f t="shared" si="0"/>
        <v>5</v>
      </c>
      <c r="I34" s="1">
        <v>8</v>
      </c>
      <c r="J34" s="1">
        <v>5</v>
      </c>
      <c r="K34" s="1">
        <v>5</v>
      </c>
    </row>
    <row r="35" spans="1:11" ht="404" x14ac:dyDescent="0.2">
      <c r="A35" s="1">
        <v>39051</v>
      </c>
      <c r="B35" s="1" t="s">
        <v>3</v>
      </c>
      <c r="C35" s="2" t="s">
        <v>37</v>
      </c>
      <c r="D35" s="1">
        <v>6</v>
      </c>
      <c r="E35" s="1">
        <v>5</v>
      </c>
      <c r="F35" s="1">
        <v>5</v>
      </c>
      <c r="G35" s="1">
        <v>5</v>
      </c>
      <c r="H35" s="1">
        <f t="shared" si="0"/>
        <v>5.25</v>
      </c>
      <c r="I35" s="1">
        <v>7</v>
      </c>
      <c r="J35" s="1">
        <v>5.47</v>
      </c>
      <c r="K35" s="1">
        <v>5</v>
      </c>
    </row>
    <row r="36" spans="1:11" ht="102" x14ac:dyDescent="0.2">
      <c r="A36" s="1">
        <v>39052</v>
      </c>
      <c r="B36" s="1" t="s">
        <v>3</v>
      </c>
      <c r="C36" s="2" t="s">
        <v>38</v>
      </c>
      <c r="D36" s="1">
        <v>7</v>
      </c>
      <c r="E36" s="1">
        <v>0</v>
      </c>
      <c r="F36" s="1">
        <v>10</v>
      </c>
      <c r="G36" s="1">
        <v>5</v>
      </c>
      <c r="H36" s="1">
        <f t="shared" si="0"/>
        <v>5.5</v>
      </c>
      <c r="I36" s="1">
        <v>7</v>
      </c>
      <c r="J36" s="1">
        <v>5</v>
      </c>
      <c r="K36" s="1">
        <v>8.93</v>
      </c>
    </row>
    <row r="37" spans="1:11" ht="17" x14ac:dyDescent="0.2">
      <c r="A37" s="1">
        <v>39054</v>
      </c>
      <c r="B37" s="1" t="s">
        <v>3</v>
      </c>
      <c r="C37" s="2" t="s">
        <v>39</v>
      </c>
      <c r="D37" s="1">
        <v>8</v>
      </c>
      <c r="E37" s="1">
        <v>10</v>
      </c>
      <c r="F37" s="1">
        <v>10</v>
      </c>
      <c r="G37" s="1">
        <v>7</v>
      </c>
      <c r="H37" s="1">
        <f t="shared" si="0"/>
        <v>8.75</v>
      </c>
      <c r="I37" s="1">
        <v>8</v>
      </c>
      <c r="J37" s="1">
        <v>5</v>
      </c>
      <c r="K37" s="1">
        <v>6.23</v>
      </c>
    </row>
    <row r="38" spans="1:11" ht="85" x14ac:dyDescent="0.2">
      <c r="A38" s="1">
        <v>39060</v>
      </c>
      <c r="B38" s="1" t="s">
        <v>3</v>
      </c>
      <c r="C38" s="2" t="s">
        <v>40</v>
      </c>
      <c r="D38" s="1">
        <v>6</v>
      </c>
      <c r="E38" s="1">
        <v>5</v>
      </c>
      <c r="F38" s="1">
        <v>10</v>
      </c>
      <c r="G38" s="1">
        <v>6</v>
      </c>
      <c r="H38" s="1">
        <f t="shared" si="0"/>
        <v>6.75</v>
      </c>
      <c r="I38" s="1">
        <v>8</v>
      </c>
      <c r="J38" s="1">
        <v>5</v>
      </c>
      <c r="K38" s="1">
        <v>0.67</v>
      </c>
    </row>
    <row r="39" spans="1:11" ht="17" x14ac:dyDescent="0.2">
      <c r="A39" s="1">
        <v>39066</v>
      </c>
      <c r="B39" s="1" t="s">
        <v>3</v>
      </c>
      <c r="C39" s="2" t="s">
        <v>41</v>
      </c>
      <c r="D39" s="1">
        <v>7</v>
      </c>
      <c r="E39" s="1">
        <v>5</v>
      </c>
      <c r="F39" s="1">
        <v>10</v>
      </c>
      <c r="G39" s="1">
        <v>5</v>
      </c>
      <c r="H39" s="1">
        <f t="shared" si="0"/>
        <v>6.75</v>
      </c>
      <c r="I39" s="1">
        <v>7</v>
      </c>
      <c r="J39" s="1">
        <v>6.25</v>
      </c>
      <c r="K39" s="1">
        <v>5</v>
      </c>
    </row>
    <row r="40" spans="1:11" ht="153" x14ac:dyDescent="0.2">
      <c r="A40" s="1">
        <v>39068</v>
      </c>
      <c r="B40" s="1" t="s">
        <v>3</v>
      </c>
      <c r="C40" s="2" t="s">
        <v>42</v>
      </c>
      <c r="D40" s="1">
        <v>7</v>
      </c>
      <c r="E40" s="1">
        <v>0</v>
      </c>
      <c r="F40" s="1">
        <v>10</v>
      </c>
      <c r="G40" s="1">
        <v>5</v>
      </c>
      <c r="H40" s="1">
        <f t="shared" si="0"/>
        <v>5.5</v>
      </c>
      <c r="I40" s="1">
        <v>7</v>
      </c>
      <c r="J40" s="1">
        <v>5</v>
      </c>
      <c r="K40" s="1">
        <v>5</v>
      </c>
    </row>
    <row r="41" spans="1:11" ht="17" x14ac:dyDescent="0.2">
      <c r="A41" s="1">
        <v>39069</v>
      </c>
      <c r="B41" s="1" t="s">
        <v>3</v>
      </c>
      <c r="C41" s="2" t="s">
        <v>43</v>
      </c>
      <c r="D41" s="1">
        <v>2</v>
      </c>
      <c r="E41" s="1">
        <v>10</v>
      </c>
      <c r="F41" s="1">
        <v>0</v>
      </c>
      <c r="G41" s="1">
        <v>5</v>
      </c>
      <c r="H41" s="1">
        <f t="shared" si="0"/>
        <v>4.25</v>
      </c>
      <c r="I41" s="1">
        <v>3</v>
      </c>
      <c r="J41" s="1">
        <v>5</v>
      </c>
      <c r="K41" s="1">
        <v>5</v>
      </c>
    </row>
    <row r="42" spans="1:11" ht="51" x14ac:dyDescent="0.2">
      <c r="A42" s="1">
        <v>39072</v>
      </c>
      <c r="B42" s="1" t="s">
        <v>3</v>
      </c>
      <c r="C42" s="2" t="s">
        <v>44</v>
      </c>
      <c r="D42" s="1">
        <v>8</v>
      </c>
      <c r="E42" s="1">
        <v>0</v>
      </c>
      <c r="F42" s="1">
        <v>10</v>
      </c>
      <c r="G42" s="1">
        <v>5</v>
      </c>
      <c r="H42" s="1">
        <f t="shared" si="0"/>
        <v>5.75</v>
      </c>
      <c r="I42" s="1">
        <v>7</v>
      </c>
      <c r="J42" s="1">
        <v>5</v>
      </c>
      <c r="K42" s="1">
        <v>5</v>
      </c>
    </row>
    <row r="43" spans="1:11" ht="17" x14ac:dyDescent="0.2">
      <c r="A43" s="1">
        <v>39076</v>
      </c>
      <c r="B43" s="1" t="s">
        <v>3</v>
      </c>
      <c r="C43" s="2" t="s">
        <v>45</v>
      </c>
      <c r="D43" s="1">
        <v>8</v>
      </c>
      <c r="E43" s="1">
        <v>0</v>
      </c>
      <c r="F43" s="1">
        <v>10</v>
      </c>
      <c r="G43" s="1">
        <v>5</v>
      </c>
      <c r="H43" s="1">
        <f t="shared" si="0"/>
        <v>5.75</v>
      </c>
      <c r="I43" s="1">
        <v>6</v>
      </c>
      <c r="J43" s="1">
        <v>1.67</v>
      </c>
      <c r="K43" s="1">
        <v>5</v>
      </c>
    </row>
    <row r="44" spans="1:11" ht="119" x14ac:dyDescent="0.2">
      <c r="A44" s="1">
        <v>39079</v>
      </c>
      <c r="B44" s="1" t="s">
        <v>3</v>
      </c>
      <c r="C44" s="2" t="s">
        <v>46</v>
      </c>
      <c r="D44" s="1">
        <v>7</v>
      </c>
      <c r="E44" s="1">
        <v>5</v>
      </c>
      <c r="F44" s="1">
        <v>10</v>
      </c>
      <c r="G44" s="1">
        <v>7</v>
      </c>
      <c r="H44" s="1">
        <f t="shared" si="0"/>
        <v>7.25</v>
      </c>
      <c r="I44" s="1">
        <v>7</v>
      </c>
      <c r="J44" s="1">
        <v>5</v>
      </c>
      <c r="K44" s="1">
        <v>5</v>
      </c>
    </row>
    <row r="45" spans="1:11" ht="119" x14ac:dyDescent="0.2">
      <c r="A45" s="1">
        <v>39087</v>
      </c>
      <c r="B45" s="1" t="s">
        <v>3</v>
      </c>
      <c r="C45" s="2" t="s">
        <v>47</v>
      </c>
      <c r="D45" s="1">
        <v>8</v>
      </c>
      <c r="E45" s="1">
        <v>5</v>
      </c>
      <c r="F45" s="1">
        <v>10</v>
      </c>
      <c r="G45" s="1">
        <v>8</v>
      </c>
      <c r="H45" s="1">
        <f t="shared" si="0"/>
        <v>7.75</v>
      </c>
      <c r="I45" s="1">
        <v>7</v>
      </c>
      <c r="J45" s="1">
        <v>5</v>
      </c>
      <c r="K45" s="1">
        <v>5</v>
      </c>
    </row>
    <row r="46" spans="1:11" ht="17" x14ac:dyDescent="0.2">
      <c r="A46" s="1">
        <v>39102</v>
      </c>
      <c r="B46" s="1" t="s">
        <v>3</v>
      </c>
      <c r="C46" s="2" t="s">
        <v>48</v>
      </c>
      <c r="D46" s="1">
        <v>8</v>
      </c>
      <c r="E46" s="1">
        <v>5</v>
      </c>
      <c r="F46" s="1">
        <v>10</v>
      </c>
      <c r="G46" s="1">
        <v>5</v>
      </c>
      <c r="H46" s="1">
        <f t="shared" si="0"/>
        <v>7</v>
      </c>
      <c r="I46" s="1">
        <v>6</v>
      </c>
      <c r="J46" s="1">
        <v>5</v>
      </c>
      <c r="K46" s="1">
        <v>5</v>
      </c>
    </row>
    <row r="47" spans="1:11" ht="68" x14ac:dyDescent="0.2">
      <c r="A47" s="1">
        <v>39111</v>
      </c>
      <c r="B47" s="1" t="s">
        <v>3</v>
      </c>
      <c r="C47" s="2" t="s">
        <v>49</v>
      </c>
      <c r="D47" s="1">
        <v>8</v>
      </c>
      <c r="E47" s="1">
        <v>5</v>
      </c>
      <c r="F47" s="1">
        <v>10</v>
      </c>
      <c r="G47" s="1">
        <v>6</v>
      </c>
      <c r="H47" s="1">
        <f t="shared" si="0"/>
        <v>7.25</v>
      </c>
      <c r="I47" s="1">
        <v>8</v>
      </c>
      <c r="J47" s="1">
        <v>5</v>
      </c>
      <c r="K47" s="1">
        <v>6.16</v>
      </c>
    </row>
    <row r="48" spans="1:11" ht="34" x14ac:dyDescent="0.2">
      <c r="A48" s="1">
        <v>39122</v>
      </c>
      <c r="B48" s="1" t="s">
        <v>3</v>
      </c>
      <c r="C48" s="2" t="s">
        <v>50</v>
      </c>
      <c r="D48" s="1">
        <v>7</v>
      </c>
      <c r="E48" s="1">
        <v>5</v>
      </c>
      <c r="F48" s="1">
        <v>5</v>
      </c>
      <c r="G48" s="1">
        <v>5</v>
      </c>
      <c r="H48" s="1">
        <f t="shared" si="0"/>
        <v>5.5</v>
      </c>
      <c r="I48" s="1">
        <v>5</v>
      </c>
      <c r="J48" s="1">
        <v>4.74</v>
      </c>
      <c r="K48" s="1">
        <v>2.8</v>
      </c>
    </row>
    <row r="49" spans="1:11" ht="51" x14ac:dyDescent="0.2">
      <c r="A49" s="1">
        <v>39124</v>
      </c>
      <c r="B49" s="1" t="s">
        <v>3</v>
      </c>
      <c r="C49" s="2" t="s">
        <v>51</v>
      </c>
      <c r="D49" s="1">
        <v>7</v>
      </c>
      <c r="E49" s="1">
        <v>10</v>
      </c>
      <c r="F49" s="1">
        <v>10</v>
      </c>
      <c r="G49" s="1">
        <v>6</v>
      </c>
      <c r="H49" s="1">
        <f t="shared" si="0"/>
        <v>8.25</v>
      </c>
      <c r="I49" s="1">
        <v>8</v>
      </c>
      <c r="J49" s="1">
        <v>5</v>
      </c>
      <c r="K49" s="1">
        <v>9.41</v>
      </c>
    </row>
    <row r="50" spans="1:11" ht="153" x14ac:dyDescent="0.2">
      <c r="A50" s="1">
        <v>39144</v>
      </c>
      <c r="B50" s="1" t="s">
        <v>3</v>
      </c>
      <c r="C50" s="2" t="s">
        <v>52</v>
      </c>
      <c r="D50" s="1">
        <v>8</v>
      </c>
      <c r="E50" s="1">
        <v>10</v>
      </c>
      <c r="F50" s="1">
        <v>10</v>
      </c>
      <c r="G50" s="1">
        <v>6</v>
      </c>
      <c r="H50" s="1">
        <f t="shared" si="0"/>
        <v>8.5</v>
      </c>
      <c r="I50" s="1">
        <v>6</v>
      </c>
      <c r="J50" s="1">
        <v>5.24</v>
      </c>
      <c r="K50" s="1">
        <v>5.53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tbl_watch_sentiment_content_row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Yu</dc:creator>
  <cp:lastModifiedBy>Eric Yu</cp:lastModifiedBy>
  <dcterms:created xsi:type="dcterms:W3CDTF">2025-09-26T06:23:07Z</dcterms:created>
  <dcterms:modified xsi:type="dcterms:W3CDTF">2026-05-25T08:18:47Z</dcterms:modified>
</cp:coreProperties>
</file>